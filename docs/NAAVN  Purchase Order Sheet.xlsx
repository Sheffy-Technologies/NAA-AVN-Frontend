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ALTUM SOLUTIONS/"/>
    </mc:Choice>
  </mc:AlternateContent>
  <xr:revisionPtr revIDLastSave="0" documentId="8_{48676F38-743E-B54A-84CF-0D10536E2B7D}" xr6:coauthVersionLast="47" xr6:coauthVersionMax="47" xr10:uidLastSave="{00000000-0000-0000-0000-000000000000}"/>
  <bookViews>
    <workbookView xWindow="0" yWindow="120" windowWidth="25600" windowHeight="15880" activeTab="1" xr2:uid="{6F866DDD-D65E-F94A-B619-B0796270861F}"/>
  </bookViews>
  <sheets>
    <sheet name="NAAVN-006" sheetId="1" r:id="rId1"/>
    <sheet name="PO NAAVN-015" sheetId="2" r:id="rId2"/>
  </sheets>
  <definedNames>
    <definedName name="_xlnm.Print_Area" localSheetId="0">'NAAVN-006'!$A$1:$G$21</definedName>
    <definedName name="_xlnm.Print_Area" localSheetId="1">'PO NAAVN-015'!$A$1:$G$19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  <c r="G11" i="2"/>
  <c r="G12" i="2"/>
  <c r="G13" i="2"/>
  <c r="G13" i="1"/>
  <c r="G11" i="1"/>
  <c r="G12" i="1"/>
  <c r="G16" i="1" s="1"/>
  <c r="G1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9" authorId="0" shapeId="0" xr:uid="{3ADB567F-3B1C-AD42-BB08-2123D7CF5C28}">
      <text>
        <r>
          <rPr>
            <b/>
            <sz val="10"/>
            <color rgb="FF000000"/>
            <rFont val="Tahoma"/>
            <family val="2"/>
          </rPr>
          <t>Source: ESTIMATE 041.pdf (Altum Solutions proforma invoice 041, dated 03/08/2026), 12 rows, uploaded 2026-10-02. Uploaded file. Part numbers for items 1, 5, 6 taken from ALTUM SOLUTIONS PO 15.docx; others not given in estimate. Total Price = Qty × Unit Price.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9" authorId="0" shapeId="0" xr:uid="{BF89DE69-DBE4-2245-B61D-EF6FB9855F5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Source: PO NAAVN-015.pdf (Nigerian Army Aviation PO NAAVN-015, Altum Solutions quote 041, dated 15-Sep-26), 10 rows, uploaded 2026-10-13. Uploaded file. Total Price = Qty × Unit Price.</t>
        </r>
      </text>
    </comment>
  </commentList>
</comments>
</file>

<file path=xl/sharedStrings.xml><?xml version="1.0" encoding="utf-8"?>
<sst xmlns="http://schemas.openxmlformats.org/spreadsheetml/2006/main" count="88" uniqueCount="51">
  <si>
    <t>(a)</t>
  </si>
  <si>
    <t>(b)</t>
  </si>
  <si>
    <t>(c)</t>
  </si>
  <si>
    <t>(d)</t>
  </si>
  <si>
    <t>(e)</t>
  </si>
  <si>
    <t>(f)</t>
  </si>
  <si>
    <t>(g)</t>
  </si>
  <si>
    <t>ITEM</t>
  </si>
  <si>
    <t>PART NUMBER</t>
  </si>
  <si>
    <t>DESCRIPTION</t>
  </si>
  <si>
    <t>CONDITION</t>
  </si>
  <si>
    <t>QUANTITY</t>
  </si>
  <si>
    <t>UNIT PRICE</t>
  </si>
  <si>
    <t>TOTAL PRICE</t>
  </si>
  <si>
    <t>DATE:</t>
  </si>
  <si>
    <t>ISSUED BY:</t>
  </si>
  <si>
    <t>SUPPLIER:</t>
  </si>
  <si>
    <t>QUOTE NO.:</t>
  </si>
  <si>
    <t>TOTAL</t>
  </si>
  <si>
    <t>SIGNATURE OF ISSUER</t>
  </si>
  <si>
    <t>APPROVED BY:</t>
  </si>
  <si>
    <t>APPROVAL SIGNATURE:</t>
  </si>
  <si>
    <t>*Attach copy of quote provided by supplier for reference.</t>
  </si>
  <si>
    <t>SHIP TO</t>
  </si>
  <si>
    <t>Nigerian Army Aviation</t>
  </si>
  <si>
    <t>Airport Road, Opposite University of Abuja</t>
  </si>
  <si>
    <t>Giri, Abuja.</t>
  </si>
  <si>
    <t>Nigera</t>
  </si>
  <si>
    <t>RANK INITIAL AND SURNAME</t>
  </si>
  <si>
    <t>P.O NUMBER:</t>
  </si>
  <si>
    <t>ALTUM SOLUTIONS</t>
  </si>
  <si>
    <t>NS</t>
  </si>
  <si>
    <t>Support</t>
  </si>
  <si>
    <t>Mixing Lever</t>
  </si>
  <si>
    <t>Bearing</t>
  </si>
  <si>
    <t>205-030-477-001</t>
  </si>
  <si>
    <t>212-010-302-105</t>
  </si>
  <si>
    <t>MS27641-8</t>
  </si>
  <si>
    <t>SV</t>
  </si>
  <si>
    <t>GTR 225</t>
  </si>
  <si>
    <t>Garmin VHF Radio</t>
  </si>
  <si>
    <t>046</t>
  </si>
  <si>
    <t>20% Commission of GTR 225</t>
  </si>
  <si>
    <t>CAPT JO OMOLE</t>
  </si>
  <si>
    <t>205-001-914-025</t>
  </si>
  <si>
    <t>Elevator Horn</t>
  </si>
  <si>
    <t>205-001-720-1</t>
  </si>
  <si>
    <t>Cable Assy</t>
  </si>
  <si>
    <t>204-001-825-003</t>
  </si>
  <si>
    <t>Bracket</t>
  </si>
  <si>
    <t>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</si>
</sst>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dd\ mmmm\ yyyy"/>
  </numFmts>
  <fonts count="7">
    <font>
      <sz val="10"/>
      <color theme="1"/>
      <name val="ArialMT"/>
      <family val="2"/>
    </font>
    <font>
      <b/>
      <sz val="10"/>
      <color theme="1"/>
      <name val="ArialMT"/>
    </font>
    <font>
      <sz val="8"/>
      <name val="ArialMT"/>
      <family val="2"/>
    </font>
    <font>
      <sz val="10"/>
      <color theme="0" tint="-0.249977111117893"/>
      <name val="ArialMT"/>
      <family val="2"/>
    </font>
    <font>
      <b/>
      <sz val="12"/>
      <color theme="1"/>
      <name val="ArialMT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left" vertical="center"/>
    </xf>
    <xf numFmtId="164" fontId="0" fillId="0" borderId="16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9D434C0-56EB-0749-8255-AA1A8CAC827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9c663bc-9a56-4bf7-bbd0-2bf19be5bc6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4.v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D99B-409E-9344-B38D-B2EA0E849AE5}">
  <sheetPr>
    <pageSetUpPr fitToPage="1"/>
  </sheetPr>
  <dimension ref="A1:J22"/>
  <sheetViews>
    <sheetView view="pageLayout" zoomScale="69" zoomScaleNormal="100" zoomScalePageLayoutView="69" workbookViewId="0">
      <selection activeCell="F14" sqref="F14"/>
    </sheetView>
  </sheetViews>
  <sheetFormatPr baseColWidth="10" defaultColWidth="4.1640625" defaultRowHeight="25" customHeight="1"/>
  <cols>
    <col min="1" max="1" width="8.33203125" style="2" customWidth="1"/>
    <col min="2" max="2" width="19.5" style="2" customWidth="1"/>
    <col min="3" max="3" width="16.83203125" style="2" customWidth="1"/>
    <col min="4" max="4" width="12.83203125" style="2" customWidth="1"/>
    <col min="5" max="6" width="16.6640625" style="2" customWidth="1"/>
    <col min="7" max="7" width="25.33203125" style="2" bestFit="1" customWidth="1"/>
    <col min="8" max="8" width="4.1640625" style="2"/>
    <col min="9" max="9" width="0.83203125" style="2" customWidth="1"/>
    <col min="10" max="10" width="4.1640625" style="2" hidden="1" customWidth="1"/>
    <col min="11" max="16384" width="4.1640625" style="2"/>
  </cols>
  <sheetData>
    <row r="1" spans="1:7" ht="27" customHeight="1">
      <c r="A1" s="38" t="s">
        <v>14</v>
      </c>
      <c r="B1" s="38"/>
      <c r="C1" s="12">
        <v>46302</v>
      </c>
      <c r="D1" s="1"/>
      <c r="E1" s="38" t="s">
        <v>29</v>
      </c>
      <c r="F1" s="38"/>
      <c r="G1" s="4">
        <v>16</v>
      </c>
    </row>
    <row r="2" spans="1:7" ht="25" customHeight="1">
      <c r="A2" s="38" t="s">
        <v>15</v>
      </c>
      <c r="B2" s="38"/>
      <c r="C2" s="4" t="s">
        <v>43</v>
      </c>
      <c r="D2" s="1"/>
      <c r="E2" s="38" t="s">
        <v>16</v>
      </c>
      <c r="F2" s="38"/>
      <c r="G2" s="31" t="s">
        <v>30</v>
      </c>
    </row>
    <row r="3" spans="1:7" ht="25" customHeight="1">
      <c r="A3" s="3"/>
      <c r="D3" s="1"/>
      <c r="E3" s="38" t="s">
        <v>17</v>
      </c>
      <c r="F3" s="38"/>
      <c r="G3" s="29" t="s">
        <v>41</v>
      </c>
    </row>
    <row r="4" spans="1:7" ht="25" customHeight="1">
      <c r="A4" s="11" t="s">
        <v>23</v>
      </c>
      <c r="B4" s="36" t="s">
        <v>24</v>
      </c>
      <c r="C4" s="36"/>
      <c r="D4" s="11"/>
    </row>
    <row r="5" spans="1:7" ht="25" customHeight="1">
      <c r="B5" s="36" t="s">
        <v>25</v>
      </c>
      <c r="C5" s="36"/>
      <c r="D5" s="11"/>
      <c r="E5" s="37"/>
      <c r="F5" s="37"/>
    </row>
    <row r="6" spans="1:7" ht="25" customHeight="1">
      <c r="B6" s="36" t="s">
        <v>26</v>
      </c>
      <c r="C6" s="36"/>
      <c r="D6" s="11"/>
      <c r="E6" s="36"/>
      <c r="F6" s="36"/>
    </row>
    <row r="7" spans="1:7" ht="25" customHeight="1">
      <c r="B7" s="36" t="s">
        <v>27</v>
      </c>
      <c r="C7" s="36"/>
      <c r="E7" s="37"/>
      <c r="F7" s="37"/>
    </row>
    <row r="8" spans="1:7" ht="25" customHeight="1" thickBot="1"/>
    <row r="9" spans="1:7" ht="20" customHeight="1">
      <c r="A9" s="15" t="s">
        <v>7</v>
      </c>
      <c r="B9" s="16" t="s">
        <v>8</v>
      </c>
      <c r="C9" s="17" t="s">
        <v>9</v>
      </c>
      <c r="D9" s="17" t="s">
        <v>10</v>
      </c>
      <c r="E9" s="17" t="s">
        <v>11</v>
      </c>
      <c r="F9" s="17" t="s">
        <v>12</v>
      </c>
      <c r="G9" s="18" t="s">
        <v>13</v>
      </c>
    </row>
    <row r="10" spans="1:7" ht="14" customHeight="1">
      <c r="A10" s="19" t="s">
        <v>0</v>
      </c>
      <c r="B10" s="8" t="s">
        <v>1</v>
      </c>
      <c r="C10" s="7" t="s">
        <v>2</v>
      </c>
      <c r="D10" s="7" t="s">
        <v>3</v>
      </c>
      <c r="E10" s="7" t="s">
        <v>4</v>
      </c>
      <c r="F10" s="7" t="s">
        <v>5</v>
      </c>
      <c r="G10" s="20" t="s">
        <v>6</v>
      </c>
    </row>
    <row r="11" spans="1:7" ht="50" customHeight="1">
      <c r="A11" s="21">
        <v>1</v>
      </c>
      <c r="B11" s="5" t="s">
        <v>35</v>
      </c>
      <c r="C11" s="5" t="s">
        <v>32</v>
      </c>
      <c r="D11" s="4" t="s">
        <v>31</v>
      </c>
      <c r="E11" s="30">
        <v>2</v>
      </c>
      <c r="F11" s="9">
        <v>3950</v>
      </c>
      <c r="G11" s="22">
        <f>E11*F11</f>
        <v>7900</v>
      </c>
    </row>
    <row r="12" spans="1:7" ht="50" customHeight="1">
      <c r="A12" s="21">
        <v>2</v>
      </c>
      <c r="B12" s="5" t="s">
        <v>36</v>
      </c>
      <c r="C12" s="5" t="s">
        <v>33</v>
      </c>
      <c r="D12" s="4" t="s">
        <v>38</v>
      </c>
      <c r="E12" s="30">
        <v>2</v>
      </c>
      <c r="F12" s="9">
        <v>6510</v>
      </c>
      <c r="G12" s="22">
        <f>E12*F12</f>
        <v>13020</v>
      </c>
    </row>
    <row r="13" spans="1:7" ht="50" customHeight="1">
      <c r="A13" s="21">
        <v>3</v>
      </c>
      <c r="B13" s="5" t="s">
        <v>37</v>
      </c>
      <c r="C13" s="5" t="s">
        <v>34</v>
      </c>
      <c r="D13" s="4" t="s">
        <v>31</v>
      </c>
      <c r="E13" s="30">
        <v>10</v>
      </c>
      <c r="F13" s="9">
        <v>38.5</v>
      </c>
      <c r="G13" s="22">
        <f>F13*E13</f>
        <v>385</v>
      </c>
    </row>
    <row r="14" spans="1:7" ht="50" customHeight="1">
      <c r="A14" s="21">
        <v>4</v>
      </c>
      <c r="B14" s="5" t="s">
        <v>39</v>
      </c>
      <c r="C14" s="5" t="s">
        <v>40</v>
      </c>
      <c r="D14" s="4" t="s">
        <v>38</v>
      </c>
      <c r="E14" s="6">
        <v>1</v>
      </c>
      <c r="F14" s="9">
        <v>2620</v>
      </c>
      <c r="G14" s="9">
        <v>2620</v>
      </c>
    </row>
    <row r="15" spans="1:7" ht="50" customHeight="1" thickBot="1">
      <c r="A15" s="23">
        <v>5</v>
      </c>
      <c r="B15" s="24" t="s">
        <v>42</v>
      </c>
      <c r="C15" s="24"/>
      <c r="D15" s="25"/>
      <c r="E15" s="26">
        <v>1</v>
      </c>
      <c r="F15" s="27">
        <v>524</v>
      </c>
      <c r="G15" s="28">
        <v>524</v>
      </c>
    </row>
    <row r="16" spans="1:7" ht="25" customHeight="1" thickBot="1">
      <c r="F16" s="13" t="s">
        <v>18</v>
      </c>
      <c r="G16" s="14">
        <f>SUM(G11:G15)</f>
        <v>24449</v>
      </c>
    </row>
    <row r="18" spans="1:8" ht="25" customHeight="1">
      <c r="A18" s="32" t="s">
        <v>19</v>
      </c>
      <c r="B18" s="32"/>
      <c r="C18" s="33"/>
      <c r="E18" s="32" t="s">
        <v>20</v>
      </c>
      <c r="F18" s="32"/>
      <c r="G18" s="34" t="s">
        <v>28</v>
      </c>
      <c r="H18" s="10"/>
    </row>
    <row r="19" spans="1:8" ht="25" customHeight="1">
      <c r="A19" s="32"/>
      <c r="B19" s="32"/>
      <c r="C19" s="33"/>
      <c r="E19" s="32"/>
      <c r="F19" s="32"/>
      <c r="G19" s="34"/>
      <c r="H19" s="10"/>
    </row>
    <row r="20" spans="1:8" ht="25" customHeight="1">
      <c r="E20" s="32" t="s">
        <v>21</v>
      </c>
      <c r="F20" s="32"/>
      <c r="G20" s="35"/>
      <c r="H20" s="1"/>
    </row>
    <row r="21" spans="1:8" ht="25" customHeight="1">
      <c r="A21" s="3" t="s">
        <v>22</v>
      </c>
      <c r="E21" s="32"/>
      <c r="F21" s="32"/>
      <c r="G21" s="35"/>
      <c r="H21" s="1"/>
    </row>
    <row r="22" spans="1:8" ht="25" customHeight="1">
      <c r="A22" s="3"/>
    </row>
  </sheetData>
  <mergeCells count="18">
    <mergeCell ref="G20:G21"/>
    <mergeCell ref="B4:C4"/>
    <mergeCell ref="B5:C5"/>
    <mergeCell ref="B6:C6"/>
    <mergeCell ref="B7:C7"/>
    <mergeCell ref="E5:F5"/>
    <mergeCell ref="E6:F6"/>
    <mergeCell ref="E20:F21"/>
    <mergeCell ref="E18:F19"/>
    <mergeCell ref="A18:B19"/>
    <mergeCell ref="C18:C19"/>
    <mergeCell ref="G18:G19"/>
    <mergeCell ref="E7:F7"/>
    <mergeCell ref="E1:F1"/>
    <mergeCell ref="E2:F2"/>
    <mergeCell ref="E3:F3"/>
    <mergeCell ref="A1:B1"/>
    <mergeCell ref="A2:B2"/>
  </mergeCells>
  <phoneticPr fontId="2" type="noConversion"/>
  <pageMargins left="0.7" right="0.7" top="1.4512882447665056" bottom="0.75" header="0.3" footer="0.3"/>
  <pageSetup paperSize="9" scale="70" fitToHeight="2" orientation="portrait" horizontalDpi="0" verticalDpi="0"/>
  <headerFooter>
    <oddHeader>&amp;L&amp;G&amp;CRESTRICTED
 	&amp;"ArialMT,Bold"&amp;18NIGERIAN ARMY AVIATION&amp;"ArialMT,Regular"&amp;10
&amp;"ArialMT,Bold"&amp;16PURCHASE ORDER&amp;"ArialMT,Regular"&amp;10	 
	DOCUMENT REF No.:&amp;"ArialMT,Bold" NAAVN-006&amp;R&amp;G</oddHeader>
    <oddFooter>&amp;LRevision No.: 00&amp;CRevision Date: 17 February 2026&amp;R&amp;"System Font,Regular"&amp;K000000Page &amp;P of &amp;N</oddFooter>
  </headerFooter>
  <legacy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C445-D643-DD41-B144-378D007B5A23}">
  <sheetPr>
    <pageSetUpPr fitToPage="1"/>
  </sheetPr>
  <dimension ref="A1:J20"/>
  <sheetViews>
    <sheetView tabSelected="1" view="pageLayout" zoomScale="69" zoomScaleNormal="100" zoomScalePageLayoutView="69" workbookViewId="0">
      <selection activeCell="G4" sqref="G4"/>
    </sheetView>
  </sheetViews>
  <sheetFormatPr baseColWidth="10" defaultColWidth="4.1640625" defaultRowHeight="25" customHeight="1"/>
  <cols>
    <col min="1" max="1" width="8.33203125" style="2" customWidth="1"/>
    <col min="2" max="2" width="19.5" style="2" customWidth="1"/>
    <col min="3" max="3" width="16.83203125" style="2" customWidth="1"/>
    <col min="4" max="4" width="12.83203125" style="2" customWidth="1"/>
    <col min="5" max="6" width="16.6640625" style="2" customWidth="1"/>
    <col min="7" max="7" width="25.33203125" style="2" bestFit="1" customWidth="1"/>
    <col min="8" max="8" width="4.1640625" style="2"/>
    <col min="9" max="9" width="0.83203125" style="2" customWidth="1"/>
    <col min="10" max="10" width="4.1640625" style="2" hidden="1" customWidth="1"/>
    <col min="11" max="16384" width="4.1640625" style="2"/>
  </cols>
  <sheetData>
    <row r="1" spans="1:8" ht="27" customHeight="1">
      <c r="A1" s="38" t="s">
        <v>14</v>
      </c>
      <c r="B1" s="38"/>
      <c r="C1" s="12">
        <f>DATE(2026,9,15)</f>
        <v>46280</v>
      </c>
      <c r="D1" s="1"/>
      <c r="E1" s="38" t="s">
        <v>29</v>
      </c>
      <c r="F1" s="38"/>
      <c r="G1" s="4">
        <v>15</v>
      </c>
    </row>
    <row r="2" spans="1:8" ht="25" customHeight="1">
      <c r="A2" s="38" t="s">
        <v>15</v>
      </c>
      <c r="B2" s="38"/>
      <c r="C2" s="4" t="s">
        <v>43</v>
      </c>
      <c r="D2" s="1"/>
      <c r="E2" s="38" t="s">
        <v>16</v>
      </c>
      <c r="F2" s="38"/>
      <c r="G2" s="31" t="s">
        <v>30</v>
      </c>
    </row>
    <row r="3" spans="1:8" ht="25" customHeight="1">
      <c r="A3" s="3"/>
      <c r="D3" s="1"/>
      <c r="E3" s="38" t="s">
        <v>17</v>
      </c>
      <c r="F3" s="38"/>
      <c r="G3" s="29" t="s">
        <v>50</v>
      </c>
    </row>
    <row r="4" spans="1:8" ht="25" customHeight="1">
      <c r="A4" s="11" t="s">
        <v>23</v>
      </c>
      <c r="B4" s="39" t="s">
        <v>24</v>
      </c>
      <c r="C4" s="39"/>
      <c r="D4" s="11"/>
    </row>
    <row r="5" spans="1:8" ht="25" customHeight="1">
      <c r="B5" s="39" t="s">
        <v>25</v>
      </c>
      <c r="C5" s="39"/>
      <c r="D5" s="11"/>
      <c r="E5" s="37"/>
      <c r="F5" s="37"/>
    </row>
    <row r="6" spans="1:8" ht="25" customHeight="1">
      <c r="B6" s="39" t="s">
        <v>26</v>
      </c>
      <c r="C6" s="39"/>
      <c r="D6" s="11"/>
      <c r="E6" s="36"/>
      <c r="F6" s="36"/>
    </row>
    <row r="7" spans="1:8" ht="25" customHeight="1">
      <c r="B7" s="39" t="s">
        <v>27</v>
      </c>
      <c r="C7" s="39"/>
      <c r="E7" s="37"/>
      <c r="F7" s="37"/>
    </row>
    <row r="8" spans="1:8" ht="25" customHeight="1" thickBot="1"/>
    <row r="9" spans="1:8" ht="20" customHeight="1">
      <c r="A9" s="15" t="s">
        <v>7</v>
      </c>
      <c r="B9" s="16" t="s">
        <v>8</v>
      </c>
      <c r="C9" s="17" t="s">
        <v>9</v>
      </c>
      <c r="D9" s="17" t="s">
        <v>10</v>
      </c>
      <c r="E9" s="17" t="s">
        <v>11</v>
      </c>
      <c r="F9" s="17" t="s">
        <v>12</v>
      </c>
      <c r="G9" s="18" t="s">
        <v>13</v>
      </c>
    </row>
    <row r="10" spans="1:8" ht="14" customHeight="1">
      <c r="A10" s="19" t="s">
        <v>0</v>
      </c>
      <c r="B10" s="8" t="s">
        <v>1</v>
      </c>
      <c r="C10" s="7" t="s">
        <v>2</v>
      </c>
      <c r="D10" s="7" t="s">
        <v>3</v>
      </c>
      <c r="E10" s="7" t="s">
        <v>4</v>
      </c>
      <c r="F10" s="7" t="s">
        <v>5</v>
      </c>
      <c r="G10" s="20" t="s">
        <v>6</v>
      </c>
    </row>
    <row r="11" spans="1:8" ht="50" customHeight="1">
      <c r="A11" s="21">
        <v>1</v>
      </c>
      <c r="B11" s="5" t="s">
        <v>44</v>
      </c>
      <c r="C11" s="5" t="s">
        <v>45</v>
      </c>
      <c r="D11" s="4" t="s">
        <v>31</v>
      </c>
      <c r="E11" s="6">
        <v>1</v>
      </c>
      <c r="F11" s="9">
        <v>12981</v>
      </c>
      <c r="G11" s="22">
        <f t="shared" ref="G11:G13" si="0">E11*F11</f>
        <v>12981</v>
      </c>
    </row>
    <row r="12" spans="1:8" ht="50" customHeight="1">
      <c r="A12" s="21">
        <v>2</v>
      </c>
      <c r="B12" s="5" t="s">
        <v>46</v>
      </c>
      <c r="C12" s="5" t="s">
        <v>47</v>
      </c>
      <c r="D12" s="4" t="s">
        <v>31</v>
      </c>
      <c r="E12" s="6">
        <v>2</v>
      </c>
      <c r="F12" s="9">
        <v>1775.2</v>
      </c>
      <c r="G12" s="22">
        <f t="shared" si="0"/>
        <v>3550.4</v>
      </c>
    </row>
    <row r="13" spans="1:8" ht="50" customHeight="1">
      <c r="A13" s="21">
        <v>3</v>
      </c>
      <c r="B13" s="5" t="s">
        <v>48</v>
      </c>
      <c r="C13" s="5" t="s">
        <v>49</v>
      </c>
      <c r="D13" s="4" t="s">
        <v>31</v>
      </c>
      <c r="E13" s="6">
        <v>1</v>
      </c>
      <c r="F13" s="9">
        <v>1120</v>
      </c>
      <c r="G13" s="22">
        <f t="shared" si="0"/>
        <v>1120</v>
      </c>
    </row>
    <row r="14" spans="1:8" ht="25" customHeight="1" thickBot="1">
      <c r="F14" s="13" t="s">
        <v>18</v>
      </c>
      <c r="G14" s="14">
        <f>SUM(G11:G13)</f>
        <v>17651.400000000001</v>
      </c>
    </row>
    <row r="16" spans="1:8" ht="25" customHeight="1">
      <c r="A16" s="32" t="s">
        <v>19</v>
      </c>
      <c r="B16" s="32"/>
      <c r="C16" s="33"/>
      <c r="E16" s="32" t="s">
        <v>20</v>
      </c>
      <c r="F16" s="32"/>
      <c r="G16" s="34" t="s">
        <v>28</v>
      </c>
      <c r="H16" s="10"/>
    </row>
    <row r="17" spans="1:8" ht="25" customHeight="1">
      <c r="A17" s="32"/>
      <c r="B17" s="32"/>
      <c r="C17" s="33"/>
      <c r="E17" s="32"/>
      <c r="F17" s="32"/>
      <c r="G17" s="34"/>
      <c r="H17" s="10"/>
    </row>
    <row r="18" spans="1:8" ht="25" customHeight="1">
      <c r="E18" s="32" t="s">
        <v>21</v>
      </c>
      <c r="F18" s="32"/>
      <c r="G18" s="35"/>
      <c r="H18" s="1"/>
    </row>
    <row r="19" spans="1:8" ht="25" customHeight="1">
      <c r="A19" s="3" t="s">
        <v>22</v>
      </c>
      <c r="E19" s="32"/>
      <c r="F19" s="32"/>
      <c r="G19" s="35"/>
      <c r="H19" s="1"/>
    </row>
    <row r="20" spans="1:8" ht="25" customHeight="1">
      <c r="A20" s="3"/>
    </row>
  </sheetData>
  <mergeCells count="18">
    <mergeCell ref="B4:C4"/>
    <mergeCell ref="A1:B1"/>
    <mergeCell ref="E1:F1"/>
    <mergeCell ref="A2:B2"/>
    <mergeCell ref="E2:F2"/>
    <mergeCell ref="E3:F3"/>
    <mergeCell ref="B5:C5"/>
    <mergeCell ref="E5:F5"/>
    <mergeCell ref="B6:C6"/>
    <mergeCell ref="E6:F6"/>
    <mergeCell ref="B7:C7"/>
    <mergeCell ref="E7:F7"/>
    <mergeCell ref="A16:B17"/>
    <mergeCell ref="C16:C17"/>
    <mergeCell ref="E16:F17"/>
    <mergeCell ref="G16:G17"/>
    <mergeCell ref="E18:F19"/>
    <mergeCell ref="G18:G19"/>
  </mergeCells>
  <pageMargins left="0.7" right="0.7" top="1.4512882447665056" bottom="0.75" header="0.3" footer="0.3"/>
  <pageSetup paperSize="9" scale="70" fitToHeight="2" orientation="portrait" horizontalDpi="0" verticalDpi="0"/>
  <headerFooter>
    <oddHeader>&amp;L&amp;G&amp;CRESTRICTED
 	&amp;"ArialMT,Bold"&amp;18NIGERIAN ARMY AVIATION&amp;"ArialMT,Regular"&amp;10
&amp;"ArialMT,Bold"&amp;16PURCHASE ORDER&amp;"ArialMT,Regular"&amp;10	 
	DOCUMENT REF No.:&amp;"ArialMT,Bold" NAAVN-006&amp;R&amp;G</oddHeader>
    <oddFooter>&amp;LRevision No.: 00&amp;CRevision Date: 17 February 2026&amp;R&amp;"System Font,Regular"&amp;K000000Page &amp;P of &amp;N</oddFooter>
  </headerFooter>
  <legacy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NAAVN-006</vt:lpstr>
      <vt:lpstr>PO NAAVN-015</vt:lpstr>
      <vt:lpstr>'NAAVN-006'!Print_Area</vt:lpstr>
      <vt:lpstr>'PO NAAVN-015'!Print_Area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Valentine</dc:creator>
  <cp:lastModifiedBy>john omole</cp:lastModifiedBy>
  <cp:lastPrinted>2026-10-13T10:29:07Z</cp:lastPrinted>
  <dcterms:created xsi:type="dcterms:W3CDTF">2026-01-14T08:24:48Z</dcterms:created>
  <dcterms:modified xsi:type="dcterms:W3CDTF">2026-10-13T10:34:34Z</dcterms:modified>
</cp:coreProperties>
</file>